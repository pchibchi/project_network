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A6776137B939D48/문서/"/>
    </mc:Choice>
  </mc:AlternateContent>
  <xr:revisionPtr revIDLastSave="11" documentId="8_{2AB66CBC-3F2D-49E9-9084-8D9C12B0CE4F}" xr6:coauthVersionLast="47" xr6:coauthVersionMax="47" xr10:uidLastSave="{0E07E626-AB34-4845-95B5-A2F7B3917738}"/>
  <bookViews>
    <workbookView xWindow="-120" yWindow="-120" windowWidth="38640" windowHeight="21120" activeTab="1" xr2:uid="{00000000-000D-0000-FFFF-FFFF00000000}"/>
  </bookViews>
  <sheets>
    <sheet name="장비명" sheetId="3" r:id="rId1"/>
    <sheet name="IP" sheetId="1" r:id="rId2"/>
    <sheet name="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4" i="3"/>
</calcChain>
</file>

<file path=xl/sharedStrings.xml><?xml version="1.0" encoding="utf-8"?>
<sst xmlns="http://schemas.openxmlformats.org/spreadsheetml/2006/main" count="597" uniqueCount="215">
  <si>
    <t>VLAN 10</t>
    <phoneticPr fontId="1" type="noConversion"/>
  </si>
  <si>
    <t>VLAN 20</t>
    <phoneticPr fontId="1" type="noConversion"/>
  </si>
  <si>
    <t>VLAN 30</t>
    <phoneticPr fontId="1" type="noConversion"/>
  </si>
  <si>
    <t>VLAN 40</t>
    <phoneticPr fontId="1" type="noConversion"/>
  </si>
  <si>
    <t>VLAN NUM</t>
    <phoneticPr fontId="1" type="noConversion"/>
  </si>
  <si>
    <t>VLAN NAME</t>
    <phoneticPr fontId="1" type="noConversion"/>
  </si>
  <si>
    <t>SEOUL_SALES</t>
    <phoneticPr fontId="1" type="noConversion"/>
  </si>
  <si>
    <t>IP</t>
    <phoneticPr fontId="1" type="noConversion"/>
  </si>
  <si>
    <t>SEOUL_HR</t>
    <phoneticPr fontId="1" type="noConversion"/>
  </si>
  <si>
    <t>SEOUL_RND</t>
    <phoneticPr fontId="1" type="noConversion"/>
  </si>
  <si>
    <t>SEOUL_FINANCE</t>
    <phoneticPr fontId="1" type="noConversion"/>
  </si>
  <si>
    <t>192.168.10.0/24</t>
    <phoneticPr fontId="1" type="noConversion"/>
  </si>
  <si>
    <t>192.168.20.0/24</t>
    <phoneticPr fontId="1" type="noConversion"/>
  </si>
  <si>
    <t>192.168.30.0/24</t>
    <phoneticPr fontId="1" type="noConversion"/>
  </si>
  <si>
    <t>192.168.40.0/24</t>
    <phoneticPr fontId="1" type="noConversion"/>
  </si>
  <si>
    <t>내부망 - SEOUL</t>
    <phoneticPr fontId="1" type="noConversion"/>
  </si>
  <si>
    <t>내부망 - BUSAN</t>
  </si>
  <si>
    <t>BUSAN_SALES</t>
  </si>
  <si>
    <t>BUSAN_HR</t>
  </si>
  <si>
    <t>BUSAN_RND</t>
  </si>
  <si>
    <t>BUSAN_FINANCE</t>
  </si>
  <si>
    <t>내부망 - TOKYO</t>
  </si>
  <si>
    <t>TOKYO_SALES</t>
  </si>
  <si>
    <t>TOKYO_HR</t>
  </si>
  <si>
    <t>TOKYO_RND</t>
  </si>
  <si>
    <t>TOKYO_FINANCE</t>
  </si>
  <si>
    <t>192.168.50.0/24</t>
    <phoneticPr fontId="1" type="noConversion"/>
  </si>
  <si>
    <t>192.168.60.0/24</t>
    <phoneticPr fontId="1" type="noConversion"/>
  </si>
  <si>
    <t>192.168.70.0/24</t>
    <phoneticPr fontId="1" type="noConversion"/>
  </si>
  <si>
    <t>192.168.80.0/24</t>
    <phoneticPr fontId="1" type="noConversion"/>
  </si>
  <si>
    <t>192.168.90.0/24</t>
    <phoneticPr fontId="1" type="noConversion"/>
  </si>
  <si>
    <t>192.168.100.0/24</t>
    <phoneticPr fontId="1" type="noConversion"/>
  </si>
  <si>
    <t>192.168.110.0/24</t>
    <phoneticPr fontId="1" type="noConversion"/>
  </si>
  <si>
    <t>192.168.120.0/24</t>
    <phoneticPr fontId="1" type="noConversion"/>
  </si>
  <si>
    <t>VLAN 900</t>
    <phoneticPr fontId="1" type="noConversion"/>
  </si>
  <si>
    <t>VLAN 999</t>
    <phoneticPr fontId="1" type="noConversion"/>
  </si>
  <si>
    <t>192.168.99.0/24</t>
    <phoneticPr fontId="1" type="noConversion"/>
  </si>
  <si>
    <t>192.168.199.0/24</t>
    <phoneticPr fontId="1" type="noConversion"/>
  </si>
  <si>
    <t>192.168.200.0/24</t>
    <phoneticPr fontId="1" type="noConversion"/>
  </si>
  <si>
    <t>ROUTER_LINK</t>
    <phoneticPr fontId="1" type="noConversion"/>
  </si>
  <si>
    <t>192.168.250.0/30</t>
    <phoneticPr fontId="1" type="noConversion"/>
  </si>
  <si>
    <t>192.168.251.0/30</t>
    <phoneticPr fontId="1" type="noConversion"/>
  </si>
  <si>
    <t>192.168.252.0/30</t>
    <phoneticPr fontId="1" type="noConversion"/>
  </si>
  <si>
    <t>비고</t>
    <phoneticPr fontId="1" type="noConversion"/>
  </si>
  <si>
    <t>본사 영업 부서</t>
    <phoneticPr fontId="1" type="noConversion"/>
  </si>
  <si>
    <t>본사 인사 부서</t>
    <phoneticPr fontId="1" type="noConversion"/>
  </si>
  <si>
    <t>본사 개발 부서</t>
    <phoneticPr fontId="1" type="noConversion"/>
  </si>
  <si>
    <t>본사 회계 부서</t>
    <phoneticPr fontId="1" type="noConversion"/>
  </si>
  <si>
    <t>본사 내부 관리망</t>
    <phoneticPr fontId="1" type="noConversion"/>
  </si>
  <si>
    <t>본사 GW간 연결용</t>
    <phoneticPr fontId="1" type="noConversion"/>
  </si>
  <si>
    <t>부산지사 영업 부서</t>
  </si>
  <si>
    <t>부산지사 인사 부서</t>
  </si>
  <si>
    <t>부산지사 개발 부서</t>
  </si>
  <si>
    <t>부산지사 회계 부서</t>
  </si>
  <si>
    <t>부산지사 GW간 연결용</t>
  </si>
  <si>
    <t>부산지사 내부 관리망</t>
  </si>
  <si>
    <t>도쿄지사 영업 부서</t>
  </si>
  <si>
    <t>도쿄지사 인사 부서</t>
  </si>
  <si>
    <t>도쿄지사 개발 부서</t>
  </si>
  <si>
    <t>도쿄지사 회계 부서</t>
  </si>
  <si>
    <t>도쿄지사 GW간 연결용</t>
  </si>
  <si>
    <t>도쿄지사 내부 관리망</t>
  </si>
  <si>
    <t>SEOUL_MGMT</t>
    <phoneticPr fontId="1" type="noConversion"/>
  </si>
  <si>
    <t>BUSAN_MGMT</t>
    <phoneticPr fontId="1" type="noConversion"/>
  </si>
  <si>
    <t>TOKYO_MGMT</t>
    <phoneticPr fontId="1" type="noConversion"/>
  </si>
  <si>
    <t>VLAN IP 대역</t>
    <phoneticPr fontId="1" type="noConversion"/>
  </si>
  <si>
    <t>WAN IP 대역</t>
    <phoneticPr fontId="1" type="noConversion"/>
  </si>
  <si>
    <t>ISP1</t>
    <phoneticPr fontId="1" type="noConversion"/>
  </si>
  <si>
    <t>ISP2</t>
    <phoneticPr fontId="1" type="noConversion"/>
  </si>
  <si>
    <t>ISP1-ISP2</t>
    <phoneticPr fontId="1" type="noConversion"/>
  </si>
  <si>
    <t>ISP2-ISP3</t>
    <phoneticPr fontId="1" type="noConversion"/>
  </si>
  <si>
    <t>ISP2</t>
    <phoneticPr fontId="1" type="noConversion"/>
  </si>
  <si>
    <t>ISP3</t>
    <phoneticPr fontId="1" type="noConversion"/>
  </si>
  <si>
    <t>10.10.12.1/29</t>
    <phoneticPr fontId="1" type="noConversion"/>
  </si>
  <si>
    <t>10.10.12.2/29</t>
    <phoneticPr fontId="1" type="noConversion"/>
  </si>
  <si>
    <t>10.10.23.2/29</t>
    <phoneticPr fontId="1" type="noConversion"/>
  </si>
  <si>
    <t>10.10.23.3/29</t>
    <phoneticPr fontId="1" type="noConversion"/>
  </si>
  <si>
    <t>ISP3-ISP1</t>
    <phoneticPr fontId="1" type="noConversion"/>
  </si>
  <si>
    <t>10.10.13.3/29</t>
    <phoneticPr fontId="1" type="noConversion"/>
  </si>
  <si>
    <t>10.10.13.1/29</t>
    <phoneticPr fontId="1" type="noConversion"/>
  </si>
  <si>
    <t>ISP3</t>
    <phoneticPr fontId="1" type="noConversion"/>
  </si>
  <si>
    <t>SEOUL_GW1</t>
    <phoneticPr fontId="1" type="noConversion"/>
  </si>
  <si>
    <t>SEOUL_GW2</t>
    <phoneticPr fontId="1" type="noConversion"/>
  </si>
  <si>
    <t>BUSAN_GW1</t>
  </si>
  <si>
    <t>BUSAN_GW2</t>
  </si>
  <si>
    <t>TOKYO_GW1</t>
  </si>
  <si>
    <t>TOKYO_GW2</t>
  </si>
  <si>
    <t>14.14.14.1/30</t>
    <phoneticPr fontId="1" type="noConversion"/>
  </si>
  <si>
    <t>ISP1-SEOUL_GW1</t>
    <phoneticPr fontId="1" type="noConversion"/>
  </si>
  <si>
    <t>ISP1-SEOUL_GW2</t>
    <phoneticPr fontId="1" type="noConversion"/>
  </si>
  <si>
    <t>ISP2-BUSAN_GW1</t>
    <phoneticPr fontId="1" type="noConversion"/>
  </si>
  <si>
    <t>ISP2-BUSAN_GW2</t>
    <phoneticPr fontId="1" type="noConversion"/>
  </si>
  <si>
    <t>ISP3-TOKYO_GW1</t>
    <phoneticPr fontId="1" type="noConversion"/>
  </si>
  <si>
    <t>ISP3-TOKYO_GW2</t>
    <phoneticPr fontId="1" type="noConversion"/>
  </si>
  <si>
    <t>14.14.14.2/30</t>
    <phoneticPr fontId="1" type="noConversion"/>
  </si>
  <si>
    <t>14.14.14.6/30</t>
    <phoneticPr fontId="1" type="noConversion"/>
  </si>
  <si>
    <t>14.14.14.5/30</t>
    <phoneticPr fontId="1" type="noConversion"/>
  </si>
  <si>
    <t>26.26.26.1/30</t>
    <phoneticPr fontId="1" type="noConversion"/>
  </si>
  <si>
    <t>26.26.26.2/30</t>
    <phoneticPr fontId="1" type="noConversion"/>
  </si>
  <si>
    <t>26.26.26.5/30</t>
    <phoneticPr fontId="1" type="noConversion"/>
  </si>
  <si>
    <t>26.26.26.6/30</t>
    <phoneticPr fontId="1" type="noConversion"/>
  </si>
  <si>
    <t>38.38.38.1/30</t>
    <phoneticPr fontId="1" type="noConversion"/>
  </si>
  <si>
    <t>38.38.38.2/30</t>
    <phoneticPr fontId="1" type="noConversion"/>
  </si>
  <si>
    <t>38.38.38.5/30</t>
    <phoneticPr fontId="1" type="noConversion"/>
  </si>
  <si>
    <t>38.38.38.6/30</t>
    <phoneticPr fontId="1" type="noConversion"/>
  </si>
  <si>
    <t>TUNNEL IP 대역</t>
  </si>
  <si>
    <t>SEOUL_GW1</t>
    <phoneticPr fontId="1" type="noConversion"/>
  </si>
  <si>
    <t>SEOUL_GW2</t>
    <phoneticPr fontId="1" type="noConversion"/>
  </si>
  <si>
    <t>BUSAN_GW1</t>
    <phoneticPr fontId="1" type="noConversion"/>
  </si>
  <si>
    <t>BUSAN_GW2</t>
    <phoneticPr fontId="1" type="noConversion"/>
  </si>
  <si>
    <t>TOKYO_GW1</t>
    <phoneticPr fontId="1" type="noConversion"/>
  </si>
  <si>
    <t>TOKYO_GW2</t>
    <phoneticPr fontId="1" type="noConversion"/>
  </si>
  <si>
    <t>20.20.20.1/24</t>
    <phoneticPr fontId="1" type="noConversion"/>
  </si>
  <si>
    <t>20.20.20.2/24</t>
    <phoneticPr fontId="1" type="noConversion"/>
  </si>
  <si>
    <t>20.20.20.3/24</t>
    <phoneticPr fontId="1" type="noConversion"/>
  </si>
  <si>
    <t>20.20.20.4/24</t>
    <phoneticPr fontId="1" type="noConversion"/>
  </si>
  <si>
    <t>20.20.20.5/24</t>
    <phoneticPr fontId="1" type="noConversion"/>
  </si>
  <si>
    <t>20.20.20.6/24</t>
    <phoneticPr fontId="1" type="noConversion"/>
  </si>
  <si>
    <t>ISP1</t>
    <phoneticPr fontId="1" type="noConversion"/>
  </si>
  <si>
    <t>ISP2</t>
    <phoneticPr fontId="1" type="noConversion"/>
  </si>
  <si>
    <t>ISP3</t>
    <phoneticPr fontId="1" type="noConversion"/>
  </si>
  <si>
    <t>ROUTER LOOPBACK IP</t>
    <phoneticPr fontId="1" type="noConversion"/>
  </si>
  <si>
    <t>HOSTNAME</t>
    <phoneticPr fontId="1" type="noConversion"/>
  </si>
  <si>
    <t>HOSTNAME</t>
    <phoneticPr fontId="1" type="noConversion"/>
  </si>
  <si>
    <t>HOSTNAME</t>
    <phoneticPr fontId="1" type="noConversion"/>
  </si>
  <si>
    <t>se1/0</t>
    <phoneticPr fontId="1" type="noConversion"/>
  </si>
  <si>
    <t>ISP2</t>
    <phoneticPr fontId="1" type="noConversion"/>
  </si>
  <si>
    <t>se1/1</t>
    <phoneticPr fontId="1" type="noConversion"/>
  </si>
  <si>
    <t>se1/0</t>
    <phoneticPr fontId="1" type="noConversion"/>
  </si>
  <si>
    <t>ISP3</t>
    <phoneticPr fontId="1" type="noConversion"/>
  </si>
  <si>
    <t>se1/1</t>
    <phoneticPr fontId="1" type="noConversion"/>
  </si>
  <si>
    <t>ISP1</t>
    <phoneticPr fontId="1" type="noConversion"/>
  </si>
  <si>
    <t>SEOUL_GW1</t>
    <phoneticPr fontId="1" type="noConversion"/>
  </si>
  <si>
    <t>se1/2</t>
    <phoneticPr fontId="1" type="noConversion"/>
  </si>
  <si>
    <t>se1/3</t>
    <phoneticPr fontId="1" type="noConversion"/>
  </si>
  <si>
    <t>se1/2</t>
    <phoneticPr fontId="1" type="noConversion"/>
  </si>
  <si>
    <t>ISP2</t>
    <phoneticPr fontId="1" type="noConversion"/>
  </si>
  <si>
    <t>ISP3</t>
    <phoneticPr fontId="1" type="noConversion"/>
  </si>
  <si>
    <t>WAN</t>
    <phoneticPr fontId="1" type="noConversion"/>
  </si>
  <si>
    <t>PORT</t>
    <phoneticPr fontId="1" type="noConversion"/>
  </si>
  <si>
    <t>PORT</t>
    <phoneticPr fontId="1" type="noConversion"/>
  </si>
  <si>
    <t>SEOUL_MLSW1</t>
    <phoneticPr fontId="1" type="noConversion"/>
  </si>
  <si>
    <t>SEOUL_MLSW2</t>
    <phoneticPr fontId="1" type="noConversion"/>
  </si>
  <si>
    <t>fa0/1</t>
    <phoneticPr fontId="1" type="noConversion"/>
  </si>
  <si>
    <t>fa0/0</t>
    <phoneticPr fontId="1" type="noConversion"/>
  </si>
  <si>
    <t>fa0/23</t>
    <phoneticPr fontId="1" type="noConversion"/>
  </si>
  <si>
    <t>fa0/24</t>
    <phoneticPr fontId="1" type="noConversion"/>
  </si>
  <si>
    <t>SEOUL_GW2</t>
    <phoneticPr fontId="1" type="noConversion"/>
  </si>
  <si>
    <t>fa0/24</t>
    <phoneticPr fontId="1" type="noConversion"/>
  </si>
  <si>
    <t>fa0/1</t>
    <phoneticPr fontId="1" type="noConversion"/>
  </si>
  <si>
    <t>fa0/2</t>
    <phoneticPr fontId="1" type="noConversion"/>
  </si>
  <si>
    <t>fa0/3</t>
    <phoneticPr fontId="1" type="noConversion"/>
  </si>
  <si>
    <t>fa0/4</t>
    <phoneticPr fontId="1" type="noConversion"/>
  </si>
  <si>
    <t>SEOUL_SW1</t>
    <phoneticPr fontId="1" type="noConversion"/>
  </si>
  <si>
    <t>SEOUL_SW2</t>
    <phoneticPr fontId="1" type="noConversion"/>
  </si>
  <si>
    <t>SEOUL_SW3</t>
    <phoneticPr fontId="1" type="noConversion"/>
  </si>
  <si>
    <t>SEOUL_SW4</t>
    <phoneticPr fontId="1" type="noConversion"/>
  </si>
  <si>
    <t>fa0/19</t>
    <phoneticPr fontId="1" type="noConversion"/>
  </si>
  <si>
    <t>fa0/20</t>
    <phoneticPr fontId="1" type="noConversion"/>
  </si>
  <si>
    <t>fa0/21</t>
    <phoneticPr fontId="1" type="noConversion"/>
  </si>
  <si>
    <t>fa0/22</t>
    <phoneticPr fontId="1" type="noConversion"/>
  </si>
  <si>
    <t>BUSAN_MLSW1</t>
  </si>
  <si>
    <t>BUSAN_MLSW2</t>
  </si>
  <si>
    <t>BUSAN_SW1</t>
  </si>
  <si>
    <t>BUSAN_SW2</t>
  </si>
  <si>
    <t>BUSAN_SW3</t>
  </si>
  <si>
    <t>BUSAN_SW4</t>
  </si>
  <si>
    <t>TOKYO_MLSW1</t>
  </si>
  <si>
    <t>TOKYO_MLSW2</t>
  </si>
  <si>
    <t>TOKYO_SW1</t>
  </si>
  <si>
    <t>TOKYO_SW2</t>
  </si>
  <si>
    <t>TOKYO_SW3</t>
  </si>
  <si>
    <t>TOKYO_SW4</t>
  </si>
  <si>
    <t>SEOUL_LAN</t>
    <phoneticPr fontId="1" type="noConversion"/>
  </si>
  <si>
    <t>BUSAN_LAN</t>
    <phoneticPr fontId="1" type="noConversion"/>
  </si>
  <si>
    <t>TOKYO_LAN</t>
    <phoneticPr fontId="1" type="noConversion"/>
  </si>
  <si>
    <t>번호</t>
    <phoneticPr fontId="1" type="noConversion"/>
  </si>
  <si>
    <t>장비명</t>
    <phoneticPr fontId="1" type="noConversion"/>
  </si>
  <si>
    <t>2</t>
    <phoneticPr fontId="1" type="noConversion"/>
  </si>
  <si>
    <t>3</t>
    <phoneticPr fontId="1" type="noConversion"/>
  </si>
  <si>
    <t>장비명 규칙(ISP는 예외)</t>
    <phoneticPr fontId="1" type="noConversion"/>
  </si>
  <si>
    <t>GW</t>
    <phoneticPr fontId="1" type="noConversion"/>
  </si>
  <si>
    <t>SEOUL</t>
    <phoneticPr fontId="1" type="noConversion"/>
  </si>
  <si>
    <t>1</t>
    <phoneticPr fontId="1" type="noConversion"/>
  </si>
  <si>
    <t>MLSW</t>
    <phoneticPr fontId="1" type="noConversion"/>
  </si>
  <si>
    <t>1</t>
    <phoneticPr fontId="1" type="noConversion"/>
  </si>
  <si>
    <t>2</t>
    <phoneticPr fontId="1" type="noConversion"/>
  </si>
  <si>
    <t>SW</t>
    <phoneticPr fontId="1" type="noConversion"/>
  </si>
  <si>
    <t>1</t>
    <phoneticPr fontId="1" type="noConversion"/>
  </si>
  <si>
    <t>4</t>
    <phoneticPr fontId="1" type="noConversion"/>
  </si>
  <si>
    <t>장비 역할</t>
    <phoneticPr fontId="1" type="noConversion"/>
  </si>
  <si>
    <t>지역 이름_장비 역할_번호</t>
    <phoneticPr fontId="1" type="noConversion"/>
  </si>
  <si>
    <t>위치</t>
    <phoneticPr fontId="1" type="noConversion"/>
  </si>
  <si>
    <t>PC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</si>
  <si>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</si>
  <si>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</si>
  <si>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</si>
  <si>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</si>
  <si>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BUSAN</t>
    <phoneticPr fontId="1" type="noConversion"/>
  </si>
  <si>
    <t>BUSAN</t>
    <phoneticPr fontId="1" type="noConversion"/>
  </si>
  <si>
    <t>BUSAN</t>
    <phoneticPr fontId="1" type="noConversion"/>
  </si>
  <si>
    <t>BUSAN</t>
    <phoneticPr fontId="1" type="noConversion"/>
  </si>
  <si>
    <t>TOKYO</t>
    <phoneticPr fontId="1" type="noConversion"/>
  </si>
  <si>
    <t>서울 본사</t>
    <phoneticPr fontId="1" type="noConversion"/>
  </si>
  <si>
    <t>부산 지사</t>
    <phoneticPr fontId="1" type="noConversion"/>
  </si>
  <si>
    <t>도쿄 지사</t>
    <phoneticPr fontId="1" type="noConversion"/>
  </si>
  <si>
    <t>123.123.1.1/32</t>
    <phoneticPr fontId="1" type="noConversion"/>
  </si>
  <si>
    <t>123.123.2.2/32</t>
    <phoneticPr fontId="1" type="noConversion"/>
  </si>
  <si>
    <t>123.123.3.3/32</t>
    <phoneticPr fontId="1" type="noConversion"/>
  </si>
  <si>
    <t>123.123.4.4/32</t>
    <phoneticPr fontId="1" type="noConversion"/>
  </si>
  <si>
    <t>123.123.5.5/32</t>
    <phoneticPr fontId="1" type="noConversion"/>
  </si>
  <si>
    <t>123.123.7.7/32</t>
    <phoneticPr fontId="1" type="noConversion"/>
  </si>
  <si>
    <t>123.123.8.8/32</t>
    <phoneticPr fontId="1" type="noConversion"/>
  </si>
  <si>
    <t>123.123.9.9/32</t>
    <phoneticPr fontId="1" type="noConversion"/>
  </si>
  <si>
    <t>123.123.6.6/32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</si>
</sst>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4" xfId="0" applyFon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9"/>
  <sheetViews>
    <sheetView workbookViewId="0">
      <selection activeCell="G24" sqref="G24"/>
    </sheetView>
  </sheetViews>
  <sheetFormatPr defaultRowHeight="16.5" x14ac:dyDescent="0.3"/>
  <cols>
    <col min="1" max="1" width="1.875" style="24" customWidth="1"/>
    <col min="2" max="2" width="23.75" style="24" bestFit="1" customWidth="1"/>
    <col min="3" max="3" width="3.125" style="24" customWidth="1"/>
    <col min="4" max="4" width="7.25" style="25" bestFit="1" customWidth="1"/>
    <col min="5" max="5" width="9.625" style="25" bestFit="1" customWidth="1"/>
    <col min="6" max="6" width="5.25" style="25" bestFit="1" customWidth="1"/>
    <col min="7" max="7" width="14.875" style="2" bestFit="1" customWidth="1"/>
    <col min="8" max="8" width="3.125" style="25" customWidth="1"/>
    <col min="9" max="9" width="7.625" style="25" bestFit="1" customWidth="1"/>
    <col min="10" max="10" width="9.625" style="25" bestFit="1" customWidth="1"/>
    <col min="11" max="11" width="5.25" style="25" bestFit="1" customWidth="1"/>
    <col min="12" max="12" width="15.25" style="25" bestFit="1" customWidth="1"/>
    <col min="13" max="13" width="3.125" style="25" customWidth="1"/>
    <col min="14" max="14" width="7.625" style="25" bestFit="1" customWidth="1"/>
    <col min="15" max="15" width="9.625" style="25" bestFit="1" customWidth="1"/>
    <col min="16" max="16" width="5.25" style="25" bestFit="1" customWidth="1"/>
    <col min="17" max="17" width="15.25" style="25" bestFit="1" customWidth="1"/>
    <col min="18" max="16384" width="9" style="24"/>
  </cols>
  <sheetData>
    <row r="1" spans="2:17" ht="17.25" thickBot="1" x14ac:dyDescent="0.35"/>
    <row r="2" spans="2:17" x14ac:dyDescent="0.3">
      <c r="B2" s="24" t="s">
        <v>180</v>
      </c>
      <c r="D2" s="31" t="s">
        <v>203</v>
      </c>
      <c r="E2" s="32"/>
      <c r="F2" s="32"/>
      <c r="G2" s="33"/>
      <c r="I2" s="31" t="s">
        <v>204</v>
      </c>
      <c r="J2" s="32"/>
      <c r="K2" s="32"/>
      <c r="L2" s="33"/>
      <c r="N2" s="31" t="s">
        <v>205</v>
      </c>
      <c r="O2" s="32"/>
      <c r="P2" s="32"/>
      <c r="Q2" s="33"/>
    </row>
    <row r="3" spans="2:17" x14ac:dyDescent="0.3">
      <c r="B3" s="24" t="s">
        <v>191</v>
      </c>
      <c r="D3" s="27" t="s">
        <v>192</v>
      </c>
      <c r="E3" s="26" t="s">
        <v>190</v>
      </c>
      <c r="F3" s="26" t="s">
        <v>176</v>
      </c>
      <c r="G3" s="12" t="s">
        <v>177</v>
      </c>
      <c r="I3" s="27" t="s">
        <v>192</v>
      </c>
      <c r="J3" s="26" t="s">
        <v>190</v>
      </c>
      <c r="K3" s="26" t="s">
        <v>176</v>
      </c>
      <c r="L3" s="12" t="s">
        <v>177</v>
      </c>
      <c r="N3" s="27" t="s">
        <v>192</v>
      </c>
      <c r="O3" s="26" t="s">
        <v>190</v>
      </c>
      <c r="P3" s="26" t="s">
        <v>176</v>
      </c>
      <c r="Q3" s="12" t="s">
        <v>177</v>
      </c>
    </row>
    <row r="4" spans="2:17" x14ac:dyDescent="0.3">
      <c r="D4" s="27" t="s">
        <v>182</v>
      </c>
      <c r="E4" s="26" t="s">
        <v>181</v>
      </c>
      <c r="F4" s="26" t="s">
        <v>183</v>
      </c>
      <c r="G4" s="12" t="str">
        <f>CONCATENATE(D4,"_",E4,F4)</f>
        <v>SEOUL_GW1</v>
      </c>
      <c r="I4" s="27" t="s">
        <v>198</v>
      </c>
      <c r="J4" s="26" t="s">
        <v>181</v>
      </c>
      <c r="K4" s="26" t="s">
        <v>183</v>
      </c>
      <c r="L4" s="12" t="str">
        <f t="shared" ref="L4:L19" si="0">CONCATENATE(I4,"_",J4,K4)</f>
        <v>BUSAN_GW1</v>
      </c>
      <c r="N4" s="27" t="s">
        <v>202</v>
      </c>
      <c r="O4" s="26" t="s">
        <v>181</v>
      </c>
      <c r="P4" s="26" t="s">
        <v>183</v>
      </c>
      <c r="Q4" s="12" t="str">
        <f t="shared" ref="Q4:Q19" si="1">CONCATENATE(N4,"_",O4,P4)</f>
        <v>TOKYO_GW1</v>
      </c>
    </row>
    <row r="5" spans="2:17" x14ac:dyDescent="0.3">
      <c r="D5" s="27" t="s">
        <v>182</v>
      </c>
      <c r="E5" s="26" t="s">
        <v>181</v>
      </c>
      <c r="F5" s="26" t="s">
        <v>178</v>
      </c>
      <c r="G5" s="12" t="str">
        <f t="shared" ref="G5:G19" si="2">CONCATENATE(D5,"_",E5,F5)</f>
        <v>SEOUL_GW2</v>
      </c>
      <c r="I5" s="27" t="s">
        <v>198</v>
      </c>
      <c r="J5" s="26" t="s">
        <v>181</v>
      </c>
      <c r="K5" s="26" t="s">
        <v>178</v>
      </c>
      <c r="L5" s="12" t="str">
        <f t="shared" si="0"/>
        <v>BUSAN_GW2</v>
      </c>
      <c r="N5" s="27" t="s">
        <v>202</v>
      </c>
      <c r="O5" s="26" t="s">
        <v>181</v>
      </c>
      <c r="P5" s="26" t="s">
        <v>178</v>
      </c>
      <c r="Q5" s="12" t="str">
        <f t="shared" si="1"/>
        <v>TOKYO_GW2</v>
      </c>
    </row>
    <row r="6" spans="2:17" x14ac:dyDescent="0.3">
      <c r="D6" s="27" t="s">
        <v>182</v>
      </c>
      <c r="E6" s="26" t="s">
        <v>184</v>
      </c>
      <c r="F6" s="26" t="s">
        <v>185</v>
      </c>
      <c r="G6" s="12" t="str">
        <f t="shared" si="2"/>
        <v>SEOUL_MLSW1</v>
      </c>
      <c r="I6" s="27" t="s">
        <v>199</v>
      </c>
      <c r="J6" s="26" t="s">
        <v>184</v>
      </c>
      <c r="K6" s="26" t="s">
        <v>185</v>
      </c>
      <c r="L6" s="12" t="str">
        <f t="shared" si="0"/>
        <v>BUSAN_MLSW1</v>
      </c>
      <c r="N6" s="27" t="s">
        <v>202</v>
      </c>
      <c r="O6" s="26" t="s">
        <v>184</v>
      </c>
      <c r="P6" s="26" t="s">
        <v>185</v>
      </c>
      <c r="Q6" s="12" t="str">
        <f t="shared" si="1"/>
        <v>TOKYO_MLSW1</v>
      </c>
    </row>
    <row r="7" spans="2:17" x14ac:dyDescent="0.3">
      <c r="D7" s="27" t="s">
        <v>182</v>
      </c>
      <c r="E7" s="26" t="s">
        <v>184</v>
      </c>
      <c r="F7" s="26" t="s">
        <v>186</v>
      </c>
      <c r="G7" s="12" t="str">
        <f t="shared" si="2"/>
        <v>SEOUL_MLSW2</v>
      </c>
      <c r="I7" s="27" t="s">
        <v>198</v>
      </c>
      <c r="J7" s="26" t="s">
        <v>184</v>
      </c>
      <c r="K7" s="26" t="s">
        <v>186</v>
      </c>
      <c r="L7" s="12" t="str">
        <f t="shared" si="0"/>
        <v>BUSAN_MLSW2</v>
      </c>
      <c r="N7" s="27" t="s">
        <v>202</v>
      </c>
      <c r="O7" s="26" t="s">
        <v>184</v>
      </c>
      <c r="P7" s="26" t="s">
        <v>186</v>
      </c>
      <c r="Q7" s="12" t="str">
        <f t="shared" si="1"/>
        <v>TOKYO_MLSW2</v>
      </c>
    </row>
    <row r="8" spans="2:17" x14ac:dyDescent="0.3">
      <c r="D8" s="27" t="s">
        <v>182</v>
      </c>
      <c r="E8" s="26" t="s">
        <v>187</v>
      </c>
      <c r="F8" s="26" t="s">
        <v>188</v>
      </c>
      <c r="G8" s="12" t="str">
        <f t="shared" si="2"/>
        <v>SEOUL_SW1</v>
      </c>
      <c r="I8" s="27" t="s">
        <v>200</v>
      </c>
      <c r="J8" s="26" t="s">
        <v>187</v>
      </c>
      <c r="K8" s="26" t="s">
        <v>188</v>
      </c>
      <c r="L8" s="12" t="str">
        <f t="shared" si="0"/>
        <v>BUSAN_SW1</v>
      </c>
      <c r="N8" s="27" t="s">
        <v>202</v>
      </c>
      <c r="O8" s="26" t="s">
        <v>187</v>
      </c>
      <c r="P8" s="26" t="s">
        <v>188</v>
      </c>
      <c r="Q8" s="12" t="str">
        <f t="shared" si="1"/>
        <v>TOKYO_SW1</v>
      </c>
    </row>
    <row r="9" spans="2:17" x14ac:dyDescent="0.3">
      <c r="D9" s="27" t="s">
        <v>182</v>
      </c>
      <c r="E9" s="26" t="s">
        <v>187</v>
      </c>
      <c r="F9" s="26" t="s">
        <v>178</v>
      </c>
      <c r="G9" s="12" t="str">
        <f t="shared" si="2"/>
        <v>SEOUL_SW2</v>
      </c>
      <c r="I9" s="27" t="s">
        <v>198</v>
      </c>
      <c r="J9" s="26" t="s">
        <v>187</v>
      </c>
      <c r="K9" s="26" t="s">
        <v>178</v>
      </c>
      <c r="L9" s="12" t="str">
        <f t="shared" si="0"/>
        <v>BUSAN_SW2</v>
      </c>
      <c r="N9" s="27" t="s">
        <v>202</v>
      </c>
      <c r="O9" s="26" t="s">
        <v>187</v>
      </c>
      <c r="P9" s="26" t="s">
        <v>178</v>
      </c>
      <c r="Q9" s="12" t="str">
        <f t="shared" si="1"/>
        <v>TOKYO_SW2</v>
      </c>
    </row>
    <row r="10" spans="2:17" x14ac:dyDescent="0.3">
      <c r="D10" s="27" t="s">
        <v>182</v>
      </c>
      <c r="E10" s="26" t="s">
        <v>187</v>
      </c>
      <c r="F10" s="26" t="s">
        <v>179</v>
      </c>
      <c r="G10" s="12" t="str">
        <f t="shared" si="2"/>
        <v>SEOUL_SW3</v>
      </c>
      <c r="I10" s="27" t="s">
        <v>198</v>
      </c>
      <c r="J10" s="26" t="s">
        <v>187</v>
      </c>
      <c r="K10" s="26" t="s">
        <v>179</v>
      </c>
      <c r="L10" s="12" t="str">
        <f t="shared" si="0"/>
        <v>BUSAN_SW3</v>
      </c>
      <c r="N10" s="27" t="s">
        <v>202</v>
      </c>
      <c r="O10" s="26" t="s">
        <v>187</v>
      </c>
      <c r="P10" s="26" t="s">
        <v>179</v>
      </c>
      <c r="Q10" s="12" t="str">
        <f t="shared" si="1"/>
        <v>TOKYO_SW3</v>
      </c>
    </row>
    <row r="11" spans="2:17" x14ac:dyDescent="0.3">
      <c r="D11" s="27" t="s">
        <v>182</v>
      </c>
      <c r="E11" s="26" t="s">
        <v>187</v>
      </c>
      <c r="F11" s="26" t="s">
        <v>189</v>
      </c>
      <c r="G11" s="12" t="str">
        <f t="shared" si="2"/>
        <v>SEOUL_SW4</v>
      </c>
      <c r="I11" s="27" t="s">
        <v>198</v>
      </c>
      <c r="J11" s="26" t="s">
        <v>187</v>
      </c>
      <c r="K11" s="26" t="s">
        <v>189</v>
      </c>
      <c r="L11" s="12" t="str">
        <f t="shared" si="0"/>
        <v>BUSAN_SW4</v>
      </c>
      <c r="N11" s="27" t="s">
        <v>202</v>
      </c>
      <c r="O11" s="26" t="s">
        <v>187</v>
      </c>
      <c r="P11" s="26" t="s">
        <v>189</v>
      </c>
      <c r="Q11" s="12" t="str">
        <f t="shared" si="1"/>
        <v>TOKYO_SW4</v>
      </c>
    </row>
    <row r="12" spans="2:17" x14ac:dyDescent="0.3">
      <c r="D12" s="27" t="s">
        <v>182</v>
      </c>
      <c r="E12" s="26" t="s">
        <v>193</v>
      </c>
      <c r="F12" s="26" t="s">
        <v>185</v>
      </c>
      <c r="G12" s="12" t="str">
        <f t="shared" si="2"/>
        <v>SEOUL_PC1</v>
      </c>
      <c r="I12" s="27" t="s">
        <v>198</v>
      </c>
      <c r="J12" s="26" t="s">
        <v>193</v>
      </c>
      <c r="K12" s="26" t="s">
        <v>185</v>
      </c>
      <c r="L12" s="12" t="str">
        <f t="shared" si="0"/>
        <v>BUSAN_PC1</v>
      </c>
      <c r="N12" s="27" t="s">
        <v>202</v>
      </c>
      <c r="O12" s="26" t="s">
        <v>193</v>
      </c>
      <c r="P12" s="26" t="s">
        <v>185</v>
      </c>
      <c r="Q12" s="12" t="str">
        <f t="shared" si="1"/>
        <v>TOKYO_PC1</v>
      </c>
    </row>
    <row r="13" spans="2:17" x14ac:dyDescent="0.3">
      <c r="D13" s="27" t="s">
        <v>182</v>
      </c>
      <c r="E13" s="26" t="s">
        <v>193</v>
      </c>
      <c r="F13" s="26" t="s">
        <v>178</v>
      </c>
      <c r="G13" s="12" t="str">
        <f t="shared" si="2"/>
        <v>SEOUL_PC2</v>
      </c>
      <c r="I13" s="27" t="s">
        <v>198</v>
      </c>
      <c r="J13" s="26" t="s">
        <v>193</v>
      </c>
      <c r="K13" s="26" t="s">
        <v>178</v>
      </c>
      <c r="L13" s="12" t="str">
        <f t="shared" si="0"/>
        <v>BUSAN_PC2</v>
      </c>
      <c r="N13" s="27" t="s">
        <v>202</v>
      </c>
      <c r="O13" s="26" t="s">
        <v>193</v>
      </c>
      <c r="P13" s="26" t="s">
        <v>178</v>
      </c>
      <c r="Q13" s="12" t="str">
        <f t="shared" si="1"/>
        <v>TOKYO_PC2</v>
      </c>
    </row>
    <row r="14" spans="2:17" x14ac:dyDescent="0.3">
      <c r="D14" s="27" t="s">
        <v>182</v>
      </c>
      <c r="E14" s="26" t="s">
        <v>193</v>
      </c>
      <c r="F14" s="26" t="s">
        <v>179</v>
      </c>
      <c r="G14" s="12" t="str">
        <f t="shared" si="2"/>
        <v>SEOUL_PC3</v>
      </c>
      <c r="I14" s="27" t="s">
        <v>199</v>
      </c>
      <c r="J14" s="26" t="s">
        <v>193</v>
      </c>
      <c r="K14" s="26" t="s">
        <v>179</v>
      </c>
      <c r="L14" s="12" t="str">
        <f t="shared" si="0"/>
        <v>BUSAN_PC3</v>
      </c>
      <c r="N14" s="27" t="s">
        <v>202</v>
      </c>
      <c r="O14" s="26" t="s">
        <v>193</v>
      </c>
      <c r="P14" s="26" t="s">
        <v>179</v>
      </c>
      <c r="Q14" s="12" t="str">
        <f t="shared" si="1"/>
        <v>TOKYO_PC3</v>
      </c>
    </row>
    <row r="15" spans="2:17" x14ac:dyDescent="0.3">
      <c r="D15" s="27" t="s">
        <v>182</v>
      </c>
      <c r="E15" s="26" t="s">
        <v>193</v>
      </c>
      <c r="F15" s="26" t="s">
        <v>189</v>
      </c>
      <c r="G15" s="12" t="str">
        <f t="shared" si="2"/>
        <v>SEOUL_PC4</v>
      </c>
      <c r="I15" s="27" t="s">
        <v>198</v>
      </c>
      <c r="J15" s="26" t="s">
        <v>193</v>
      </c>
      <c r="K15" s="26" t="s">
        <v>189</v>
      </c>
      <c r="L15" s="12" t="str">
        <f t="shared" si="0"/>
        <v>BUSAN_PC4</v>
      </c>
      <c r="N15" s="27" t="s">
        <v>202</v>
      </c>
      <c r="O15" s="26" t="s">
        <v>193</v>
      </c>
      <c r="P15" s="26" t="s">
        <v>189</v>
      </c>
      <c r="Q15" s="12" t="str">
        <f t="shared" si="1"/>
        <v>TOKYO_PC4</v>
      </c>
    </row>
    <row r="16" spans="2:17" x14ac:dyDescent="0.3">
      <c r="D16" s="27" t="s">
        <v>182</v>
      </c>
      <c r="E16" s="26" t="s">
        <v>193</v>
      </c>
      <c r="F16" s="26" t="s">
        <v>194</v>
      </c>
      <c r="G16" s="12" t="str">
        <f t="shared" si="2"/>
        <v>SEOUL_PC5</v>
      </c>
      <c r="I16" s="27" t="s">
        <v>201</v>
      </c>
      <c r="J16" s="26" t="s">
        <v>193</v>
      </c>
      <c r="K16" s="26" t="s">
        <v>194</v>
      </c>
      <c r="L16" s="12" t="str">
        <f t="shared" si="0"/>
        <v>BUSAN_PC5</v>
      </c>
      <c r="N16" s="27" t="s">
        <v>202</v>
      </c>
      <c r="O16" s="26" t="s">
        <v>193</v>
      </c>
      <c r="P16" s="26" t="s">
        <v>194</v>
      </c>
      <c r="Q16" s="12" t="str">
        <f t="shared" si="1"/>
        <v>TOKYO_PC5</v>
      </c>
    </row>
    <row r="17" spans="4:17" x14ac:dyDescent="0.3">
      <c r="D17" s="27" t="s">
        <v>182</v>
      </c>
      <c r="E17" s="26" t="s">
        <v>193</v>
      </c>
      <c r="F17" s="26" t="s">
        <v>195</v>
      </c>
      <c r="G17" s="12" t="str">
        <f t="shared" si="2"/>
        <v>SEOUL_PC6</v>
      </c>
      <c r="I17" s="27" t="s">
        <v>200</v>
      </c>
      <c r="J17" s="26" t="s">
        <v>193</v>
      </c>
      <c r="K17" s="26" t="s">
        <v>195</v>
      </c>
      <c r="L17" s="12" t="str">
        <f t="shared" si="0"/>
        <v>BUSAN_PC6</v>
      </c>
      <c r="N17" s="27" t="s">
        <v>202</v>
      </c>
      <c r="O17" s="26" t="s">
        <v>193</v>
      </c>
      <c r="P17" s="26" t="s">
        <v>195</v>
      </c>
      <c r="Q17" s="12" t="str">
        <f t="shared" si="1"/>
        <v>TOKYO_PC6</v>
      </c>
    </row>
    <row r="18" spans="4:17" x14ac:dyDescent="0.3">
      <c r="D18" s="27" t="s">
        <v>182</v>
      </c>
      <c r="E18" s="26" t="s">
        <v>193</v>
      </c>
      <c r="F18" s="26" t="s">
        <v>196</v>
      </c>
      <c r="G18" s="12" t="str">
        <f t="shared" si="2"/>
        <v>SEOUL_PC7</v>
      </c>
      <c r="I18" s="27" t="s">
        <v>198</v>
      </c>
      <c r="J18" s="26" t="s">
        <v>193</v>
      </c>
      <c r="K18" s="26" t="s">
        <v>196</v>
      </c>
      <c r="L18" s="12" t="str">
        <f t="shared" si="0"/>
        <v>BUSAN_PC7</v>
      </c>
      <c r="N18" s="27" t="s">
        <v>202</v>
      </c>
      <c r="O18" s="26" t="s">
        <v>193</v>
      </c>
      <c r="P18" s="26" t="s">
        <v>196</v>
      </c>
      <c r="Q18" s="12" t="str">
        <f t="shared" si="1"/>
        <v>TOKYO_PC7</v>
      </c>
    </row>
    <row r="19" spans="4:17" ht="17.25" thickBot="1" x14ac:dyDescent="0.35">
      <c r="D19" s="28" t="s">
        <v>182</v>
      </c>
      <c r="E19" s="29" t="s">
        <v>193</v>
      </c>
      <c r="F19" s="29" t="s">
        <v>197</v>
      </c>
      <c r="G19" s="30" t="str">
        <f t="shared" si="2"/>
        <v>SEOUL_PC8</v>
      </c>
      <c r="I19" s="28" t="s">
        <v>198</v>
      </c>
      <c r="J19" s="29" t="s">
        <v>193</v>
      </c>
      <c r="K19" s="29" t="s">
        <v>197</v>
      </c>
      <c r="L19" s="30" t="str">
        <f t="shared" si="0"/>
        <v>BUSAN_PC8</v>
      </c>
      <c r="N19" s="28" t="s">
        <v>202</v>
      </c>
      <c r="O19" s="29" t="s">
        <v>193</v>
      </c>
      <c r="P19" s="29" t="s">
        <v>197</v>
      </c>
      <c r="Q19" s="30" t="str">
        <f t="shared" si="1"/>
        <v>TOKYO_PC8</v>
      </c>
    </row>
  </sheetData>
  <mergeCells count="3">
    <mergeCell ref="D2:G2"/>
    <mergeCell ref="I2:L2"/>
    <mergeCell ref="N2:Q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8"/>
  <sheetViews>
    <sheetView tabSelected="1" zoomScaleNormal="100" workbookViewId="0">
      <selection activeCell="O17" sqref="O17"/>
    </sheetView>
  </sheetViews>
  <sheetFormatPr defaultRowHeight="16.5" x14ac:dyDescent="0.3"/>
  <cols>
    <col min="1" max="1" width="3.25" customWidth="1"/>
    <col min="2" max="4" width="16.125" customWidth="1"/>
    <col min="5" max="5" width="21.125" customWidth="1"/>
    <col min="6" max="6" width="3.5" customWidth="1"/>
    <col min="7" max="12" width="13.25" customWidth="1"/>
    <col min="13" max="13" width="3.375" customWidth="1"/>
    <col min="14" max="15" width="13.5" customWidth="1"/>
    <col min="16" max="16" width="3.625" customWidth="1"/>
    <col min="17" max="18" width="17.375" customWidth="1"/>
  </cols>
  <sheetData>
    <row r="1" spans="2:18" ht="17.25" thickBot="1" x14ac:dyDescent="0.35"/>
    <row r="2" spans="2:18" ht="37.5" customHeight="1" thickBot="1" x14ac:dyDescent="0.35">
      <c r="B2" s="34" t="s">
        <v>65</v>
      </c>
      <c r="C2" s="48"/>
      <c r="D2" s="48"/>
      <c r="E2" s="49"/>
      <c r="G2" s="34" t="s">
        <v>66</v>
      </c>
      <c r="H2" s="43"/>
      <c r="I2" s="43"/>
      <c r="J2" s="43"/>
      <c r="K2" s="43"/>
      <c r="L2" s="35"/>
      <c r="N2" s="34" t="s">
        <v>105</v>
      </c>
      <c r="O2" s="35"/>
      <c r="Q2" s="36" t="s">
        <v>121</v>
      </c>
      <c r="R2" s="37"/>
    </row>
    <row r="3" spans="2:18" x14ac:dyDescent="0.3">
      <c r="B3" s="44" t="s">
        <v>15</v>
      </c>
      <c r="C3" s="41"/>
      <c r="D3" s="41"/>
      <c r="E3" s="42"/>
      <c r="G3" s="44" t="s">
        <v>69</v>
      </c>
      <c r="H3" s="41"/>
      <c r="I3" s="41" t="s">
        <v>88</v>
      </c>
      <c r="J3" s="41"/>
      <c r="K3" s="41" t="s">
        <v>89</v>
      </c>
      <c r="L3" s="42"/>
      <c r="N3" s="22" t="s">
        <v>123</v>
      </c>
      <c r="O3" s="23" t="s">
        <v>7</v>
      </c>
      <c r="Q3" s="22" t="s">
        <v>123</v>
      </c>
      <c r="R3" s="23" t="s">
        <v>7</v>
      </c>
    </row>
    <row r="4" spans="2:18" x14ac:dyDescent="0.3">
      <c r="B4" s="11" t="s">
        <v>4</v>
      </c>
      <c r="C4" s="9" t="s">
        <v>5</v>
      </c>
      <c r="D4" s="9" t="s">
        <v>7</v>
      </c>
      <c r="E4" s="12" t="s">
        <v>43</v>
      </c>
      <c r="G4" s="11" t="s">
        <v>123</v>
      </c>
      <c r="H4" s="9" t="s">
        <v>7</v>
      </c>
      <c r="I4" s="9" t="s">
        <v>123</v>
      </c>
      <c r="J4" s="9" t="s">
        <v>7</v>
      </c>
      <c r="K4" s="9" t="s">
        <v>123</v>
      </c>
      <c r="L4" s="12" t="s">
        <v>7</v>
      </c>
      <c r="N4" s="13" t="s">
        <v>106</v>
      </c>
      <c r="O4" s="14" t="s">
        <v>112</v>
      </c>
      <c r="Q4" s="13" t="s">
        <v>118</v>
      </c>
      <c r="R4" s="14" t="s">
        <v>206</v>
      </c>
    </row>
    <row r="5" spans="2:18" x14ac:dyDescent="0.3">
      <c r="B5" s="13" t="s">
        <v>0</v>
      </c>
      <c r="C5" s="10" t="s">
        <v>6</v>
      </c>
      <c r="D5" s="10" t="s">
        <v>11</v>
      </c>
      <c r="E5" s="14" t="s">
        <v>44</v>
      </c>
      <c r="G5" s="13" t="s">
        <v>67</v>
      </c>
      <c r="H5" s="10" t="s">
        <v>73</v>
      </c>
      <c r="I5" s="10" t="s">
        <v>67</v>
      </c>
      <c r="J5" s="10" t="s">
        <v>87</v>
      </c>
      <c r="K5" s="10" t="s">
        <v>67</v>
      </c>
      <c r="L5" s="14" t="s">
        <v>96</v>
      </c>
      <c r="N5" s="18" t="s">
        <v>107</v>
      </c>
      <c r="O5" s="19" t="s">
        <v>113</v>
      </c>
      <c r="Q5" s="13" t="s">
        <v>119</v>
      </c>
      <c r="R5" s="14" t="s">
        <v>207</v>
      </c>
    </row>
    <row r="6" spans="2:18" x14ac:dyDescent="0.3">
      <c r="B6" s="13" t="s">
        <v>1</v>
      </c>
      <c r="C6" s="10" t="s">
        <v>8</v>
      </c>
      <c r="D6" s="10" t="s">
        <v>12</v>
      </c>
      <c r="E6" s="14" t="s">
        <v>45</v>
      </c>
      <c r="G6" s="13" t="s">
        <v>68</v>
      </c>
      <c r="H6" s="10" t="s">
        <v>74</v>
      </c>
      <c r="I6" s="10" t="s">
        <v>81</v>
      </c>
      <c r="J6" s="10" t="s">
        <v>94</v>
      </c>
      <c r="K6" s="10" t="s">
        <v>82</v>
      </c>
      <c r="L6" s="14" t="s">
        <v>95</v>
      </c>
      <c r="N6" s="18" t="s">
        <v>108</v>
      </c>
      <c r="O6" s="19" t="s">
        <v>114</v>
      </c>
      <c r="Q6" s="13" t="s">
        <v>120</v>
      </c>
      <c r="R6" s="14" t="s">
        <v>208</v>
      </c>
    </row>
    <row r="7" spans="2:18" x14ac:dyDescent="0.3">
      <c r="B7" s="13" t="s">
        <v>2</v>
      </c>
      <c r="C7" s="10" t="s">
        <v>9</v>
      </c>
      <c r="D7" s="10" t="s">
        <v>13</v>
      </c>
      <c r="E7" s="14" t="s">
        <v>46</v>
      </c>
      <c r="G7" s="4"/>
      <c r="L7" s="5"/>
      <c r="N7" s="18" t="s">
        <v>109</v>
      </c>
      <c r="O7" s="19" t="s">
        <v>115</v>
      </c>
      <c r="Q7" s="13" t="s">
        <v>106</v>
      </c>
      <c r="R7" s="14" t="s">
        <v>209</v>
      </c>
    </row>
    <row r="8" spans="2:18" x14ac:dyDescent="0.3">
      <c r="B8" s="13" t="s">
        <v>3</v>
      </c>
      <c r="C8" s="10" t="s">
        <v>10</v>
      </c>
      <c r="D8" s="10" t="s">
        <v>14</v>
      </c>
      <c r="E8" s="14" t="s">
        <v>47</v>
      </c>
      <c r="G8" s="40" t="s">
        <v>70</v>
      </c>
      <c r="H8" s="38"/>
      <c r="I8" s="38" t="s">
        <v>90</v>
      </c>
      <c r="J8" s="38"/>
      <c r="K8" s="38" t="s">
        <v>91</v>
      </c>
      <c r="L8" s="39"/>
      <c r="N8" s="18" t="s">
        <v>110</v>
      </c>
      <c r="O8" s="19" t="s">
        <v>116</v>
      </c>
      <c r="Q8" s="18" t="s">
        <v>107</v>
      </c>
      <c r="R8" s="14" t="s">
        <v>210</v>
      </c>
    </row>
    <row r="9" spans="2:18" ht="17.25" thickBot="1" x14ac:dyDescent="0.35">
      <c r="B9" s="13" t="s">
        <v>34</v>
      </c>
      <c r="C9" s="10" t="s">
        <v>39</v>
      </c>
      <c r="D9" s="10" t="s">
        <v>40</v>
      </c>
      <c r="E9" s="14" t="s">
        <v>49</v>
      </c>
      <c r="G9" s="11" t="s">
        <v>123</v>
      </c>
      <c r="H9" s="9" t="s">
        <v>7</v>
      </c>
      <c r="I9" s="9" t="s">
        <v>123</v>
      </c>
      <c r="J9" s="9" t="s">
        <v>7</v>
      </c>
      <c r="K9" s="9" t="s">
        <v>123</v>
      </c>
      <c r="L9" s="12" t="s">
        <v>7</v>
      </c>
      <c r="N9" s="20" t="s">
        <v>111</v>
      </c>
      <c r="O9" s="21" t="s">
        <v>117</v>
      </c>
      <c r="Q9" s="18" t="s">
        <v>108</v>
      </c>
      <c r="R9" s="14" t="s">
        <v>214</v>
      </c>
    </row>
    <row r="10" spans="2:18" x14ac:dyDescent="0.3">
      <c r="B10" s="13" t="s">
        <v>35</v>
      </c>
      <c r="C10" s="10" t="s">
        <v>62</v>
      </c>
      <c r="D10" s="10" t="s">
        <v>36</v>
      </c>
      <c r="E10" s="14" t="s">
        <v>48</v>
      </c>
      <c r="G10" s="13" t="s">
        <v>71</v>
      </c>
      <c r="H10" s="10" t="s">
        <v>75</v>
      </c>
      <c r="I10" s="10" t="s">
        <v>71</v>
      </c>
      <c r="J10" s="10" t="s">
        <v>97</v>
      </c>
      <c r="K10" s="10" t="s">
        <v>71</v>
      </c>
      <c r="L10" s="14" t="s">
        <v>99</v>
      </c>
      <c r="Q10" s="18" t="s">
        <v>109</v>
      </c>
      <c r="R10" s="14" t="s">
        <v>211</v>
      </c>
    </row>
    <row r="11" spans="2:18" x14ac:dyDescent="0.3">
      <c r="B11" s="45"/>
      <c r="C11" s="46"/>
      <c r="D11" s="46"/>
      <c r="E11" s="47"/>
      <c r="G11" s="13" t="s">
        <v>72</v>
      </c>
      <c r="H11" s="10" t="s">
        <v>76</v>
      </c>
      <c r="I11" s="10" t="s">
        <v>83</v>
      </c>
      <c r="J11" s="10" t="s">
        <v>98</v>
      </c>
      <c r="K11" s="10" t="s">
        <v>84</v>
      </c>
      <c r="L11" s="14" t="s">
        <v>100</v>
      </c>
      <c r="Q11" s="18" t="s">
        <v>110</v>
      </c>
      <c r="R11" s="14" t="s">
        <v>212</v>
      </c>
    </row>
    <row r="12" spans="2:18" ht="17.25" thickBot="1" x14ac:dyDescent="0.35">
      <c r="B12" s="40" t="s">
        <v>16</v>
      </c>
      <c r="C12" s="38"/>
      <c r="D12" s="38"/>
      <c r="E12" s="39"/>
      <c r="G12" s="4"/>
      <c r="L12" s="5"/>
      <c r="Q12" s="20" t="s">
        <v>111</v>
      </c>
      <c r="R12" s="17" t="s">
        <v>213</v>
      </c>
    </row>
    <row r="13" spans="2:18" x14ac:dyDescent="0.3">
      <c r="B13" s="11" t="s">
        <v>4</v>
      </c>
      <c r="C13" s="9" t="s">
        <v>5</v>
      </c>
      <c r="D13" s="9" t="s">
        <v>7</v>
      </c>
      <c r="E13" s="12" t="s">
        <v>43</v>
      </c>
      <c r="G13" s="40" t="s">
        <v>77</v>
      </c>
      <c r="H13" s="38"/>
      <c r="I13" s="38" t="s">
        <v>92</v>
      </c>
      <c r="J13" s="38"/>
      <c r="K13" s="38" t="s">
        <v>93</v>
      </c>
      <c r="L13" s="39"/>
    </row>
    <row r="14" spans="2:18" x14ac:dyDescent="0.3">
      <c r="B14" s="13" t="s">
        <v>0</v>
      </c>
      <c r="C14" s="10" t="s">
        <v>17</v>
      </c>
      <c r="D14" s="10" t="s">
        <v>26</v>
      </c>
      <c r="E14" s="14" t="s">
        <v>50</v>
      </c>
      <c r="G14" s="11" t="s">
        <v>124</v>
      </c>
      <c r="H14" s="9" t="s">
        <v>7</v>
      </c>
      <c r="I14" s="9" t="s">
        <v>123</v>
      </c>
      <c r="J14" s="9" t="s">
        <v>7</v>
      </c>
      <c r="K14" s="9" t="s">
        <v>123</v>
      </c>
      <c r="L14" s="12" t="s">
        <v>7</v>
      </c>
    </row>
    <row r="15" spans="2:18" x14ac:dyDescent="0.3">
      <c r="B15" s="13" t="s">
        <v>1</v>
      </c>
      <c r="C15" s="10" t="s">
        <v>18</v>
      </c>
      <c r="D15" s="10" t="s">
        <v>27</v>
      </c>
      <c r="E15" s="14" t="s">
        <v>51</v>
      </c>
      <c r="G15" s="13" t="s">
        <v>80</v>
      </c>
      <c r="H15" s="10" t="s">
        <v>78</v>
      </c>
      <c r="I15" s="10" t="s">
        <v>80</v>
      </c>
      <c r="J15" s="10" t="s">
        <v>101</v>
      </c>
      <c r="K15" s="10" t="s">
        <v>80</v>
      </c>
      <c r="L15" s="14" t="s">
        <v>103</v>
      </c>
    </row>
    <row r="16" spans="2:18" ht="17.25" thickBot="1" x14ac:dyDescent="0.35">
      <c r="B16" s="13" t="s">
        <v>2</v>
      </c>
      <c r="C16" s="10" t="s">
        <v>19</v>
      </c>
      <c r="D16" s="10" t="s">
        <v>28</v>
      </c>
      <c r="E16" s="14" t="s">
        <v>52</v>
      </c>
      <c r="G16" s="15" t="s">
        <v>67</v>
      </c>
      <c r="H16" s="16" t="s">
        <v>79</v>
      </c>
      <c r="I16" s="16" t="s">
        <v>85</v>
      </c>
      <c r="J16" s="16" t="s">
        <v>102</v>
      </c>
      <c r="K16" s="16" t="s">
        <v>86</v>
      </c>
      <c r="L16" s="17" t="s">
        <v>104</v>
      </c>
    </row>
    <row r="17" spans="2:5" x14ac:dyDescent="0.3">
      <c r="B17" s="13" t="s">
        <v>3</v>
      </c>
      <c r="C17" s="10" t="s">
        <v>20</v>
      </c>
      <c r="D17" s="10" t="s">
        <v>29</v>
      </c>
      <c r="E17" s="14" t="s">
        <v>53</v>
      </c>
    </row>
    <row r="18" spans="2:5" x14ac:dyDescent="0.3">
      <c r="B18" s="13" t="s">
        <v>34</v>
      </c>
      <c r="C18" s="10" t="s">
        <v>39</v>
      </c>
      <c r="D18" s="10" t="s">
        <v>41</v>
      </c>
      <c r="E18" s="14" t="s">
        <v>54</v>
      </c>
    </row>
    <row r="19" spans="2:5" x14ac:dyDescent="0.3">
      <c r="B19" s="13" t="s">
        <v>35</v>
      </c>
      <c r="C19" s="10" t="s">
        <v>63</v>
      </c>
      <c r="D19" s="10" t="s">
        <v>37</v>
      </c>
      <c r="E19" s="14" t="s">
        <v>55</v>
      </c>
    </row>
    <row r="20" spans="2:5" x14ac:dyDescent="0.3">
      <c r="B20" s="45"/>
      <c r="C20" s="46"/>
      <c r="D20" s="46"/>
      <c r="E20" s="47"/>
    </row>
    <row r="21" spans="2:5" x14ac:dyDescent="0.3">
      <c r="B21" s="40" t="s">
        <v>21</v>
      </c>
      <c r="C21" s="38"/>
      <c r="D21" s="38"/>
      <c r="E21" s="39"/>
    </row>
    <row r="22" spans="2:5" x14ac:dyDescent="0.3">
      <c r="B22" s="11" t="s">
        <v>4</v>
      </c>
      <c r="C22" s="9" t="s">
        <v>5</v>
      </c>
      <c r="D22" s="9" t="s">
        <v>7</v>
      </c>
      <c r="E22" s="12" t="s">
        <v>43</v>
      </c>
    </row>
    <row r="23" spans="2:5" x14ac:dyDescent="0.3">
      <c r="B23" s="13" t="s">
        <v>0</v>
      </c>
      <c r="C23" s="10" t="s">
        <v>22</v>
      </c>
      <c r="D23" s="10" t="s">
        <v>30</v>
      </c>
      <c r="E23" s="14" t="s">
        <v>56</v>
      </c>
    </row>
    <row r="24" spans="2:5" x14ac:dyDescent="0.3">
      <c r="B24" s="13" t="s">
        <v>1</v>
      </c>
      <c r="C24" s="10" t="s">
        <v>23</v>
      </c>
      <c r="D24" s="10" t="s">
        <v>31</v>
      </c>
      <c r="E24" s="14" t="s">
        <v>57</v>
      </c>
    </row>
    <row r="25" spans="2:5" x14ac:dyDescent="0.3">
      <c r="B25" s="13" t="s">
        <v>2</v>
      </c>
      <c r="C25" s="10" t="s">
        <v>24</v>
      </c>
      <c r="D25" s="10" t="s">
        <v>32</v>
      </c>
      <c r="E25" s="14" t="s">
        <v>58</v>
      </c>
    </row>
    <row r="26" spans="2:5" x14ac:dyDescent="0.3">
      <c r="B26" s="13" t="s">
        <v>3</v>
      </c>
      <c r="C26" s="10" t="s">
        <v>25</v>
      </c>
      <c r="D26" s="10" t="s">
        <v>33</v>
      </c>
      <c r="E26" s="14" t="s">
        <v>59</v>
      </c>
    </row>
    <row r="27" spans="2:5" x14ac:dyDescent="0.3">
      <c r="B27" s="13" t="s">
        <v>34</v>
      </c>
      <c r="C27" s="10" t="s">
        <v>39</v>
      </c>
      <c r="D27" s="10" t="s">
        <v>42</v>
      </c>
      <c r="E27" s="14" t="s">
        <v>60</v>
      </c>
    </row>
    <row r="28" spans="2:5" ht="17.25" thickBot="1" x14ac:dyDescent="0.35">
      <c r="B28" s="15" t="s">
        <v>35</v>
      </c>
      <c r="C28" s="16" t="s">
        <v>64</v>
      </c>
      <c r="D28" s="16" t="s">
        <v>38</v>
      </c>
      <c r="E28" s="17" t="s">
        <v>61</v>
      </c>
    </row>
  </sheetData>
  <mergeCells count="18">
    <mergeCell ref="B20:E20"/>
    <mergeCell ref="B3:E3"/>
    <mergeCell ref="B12:E12"/>
    <mergeCell ref="B21:E21"/>
    <mergeCell ref="B2:E2"/>
    <mergeCell ref="B11:E11"/>
    <mergeCell ref="N2:O2"/>
    <mergeCell ref="Q2:R2"/>
    <mergeCell ref="K13:L13"/>
    <mergeCell ref="I13:J13"/>
    <mergeCell ref="G13:H13"/>
    <mergeCell ref="K3:L3"/>
    <mergeCell ref="G2:L2"/>
    <mergeCell ref="G8:H8"/>
    <mergeCell ref="I8:J8"/>
    <mergeCell ref="K8:L8"/>
    <mergeCell ref="G3:H3"/>
    <mergeCell ref="I3:J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1"/>
  <sheetViews>
    <sheetView workbookViewId="0">
      <selection activeCell="N9" sqref="N9"/>
    </sheetView>
  </sheetViews>
  <sheetFormatPr defaultRowHeight="16.5" x14ac:dyDescent="0.3"/>
  <cols>
    <col min="1" max="1" width="3.5" customWidth="1"/>
    <col min="2" max="2" width="15.625" customWidth="1"/>
    <col min="3" max="3" width="8.875" customWidth="1"/>
    <col min="4" max="4" width="15.625" customWidth="1"/>
    <col min="5" max="5" width="8.875" customWidth="1"/>
    <col min="6" max="6" width="5.5" customWidth="1"/>
    <col min="7" max="7" width="15.625" customWidth="1"/>
    <col min="8" max="8" width="8.875" customWidth="1"/>
    <col min="9" max="9" width="15.625" customWidth="1"/>
    <col min="10" max="10" width="8.875" customWidth="1"/>
    <col min="11" max="11" width="5.5" customWidth="1"/>
    <col min="12" max="12" width="15.625" customWidth="1"/>
    <col min="13" max="13" width="8.875" customWidth="1"/>
    <col min="14" max="14" width="15.625" customWidth="1"/>
    <col min="15" max="15" width="8.875" customWidth="1"/>
  </cols>
  <sheetData>
    <row r="1" spans="2:15" ht="17.25" thickBot="1" x14ac:dyDescent="0.35"/>
    <row r="2" spans="2:15" ht="31.5" x14ac:dyDescent="0.3">
      <c r="B2" s="50" t="s">
        <v>138</v>
      </c>
      <c r="C2" s="51"/>
      <c r="D2" s="51"/>
      <c r="E2" s="52"/>
    </row>
    <row r="3" spans="2:15" x14ac:dyDescent="0.3">
      <c r="B3" s="1" t="s">
        <v>122</v>
      </c>
      <c r="C3" s="2" t="s">
        <v>139</v>
      </c>
      <c r="D3" s="2" t="s">
        <v>122</v>
      </c>
      <c r="E3" s="3" t="s">
        <v>139</v>
      </c>
    </row>
    <row r="4" spans="2:15" x14ac:dyDescent="0.3">
      <c r="B4" s="4" t="s">
        <v>67</v>
      </c>
      <c r="C4" t="s">
        <v>125</v>
      </c>
      <c r="D4" t="s">
        <v>126</v>
      </c>
      <c r="E4" s="5" t="s">
        <v>127</v>
      </c>
    </row>
    <row r="5" spans="2:15" x14ac:dyDescent="0.3">
      <c r="B5" s="4" t="s">
        <v>67</v>
      </c>
      <c r="C5" t="s">
        <v>127</v>
      </c>
      <c r="D5" t="s">
        <v>80</v>
      </c>
      <c r="E5" s="5" t="s">
        <v>125</v>
      </c>
    </row>
    <row r="6" spans="2:15" x14ac:dyDescent="0.3">
      <c r="B6" s="4" t="s">
        <v>126</v>
      </c>
      <c r="C6" t="s">
        <v>128</v>
      </c>
      <c r="D6" t="s">
        <v>129</v>
      </c>
      <c r="E6" s="5" t="s">
        <v>130</v>
      </c>
    </row>
    <row r="7" spans="2:15" x14ac:dyDescent="0.3">
      <c r="B7" s="4" t="s">
        <v>131</v>
      </c>
      <c r="C7" t="s">
        <v>133</v>
      </c>
      <c r="D7" t="s">
        <v>132</v>
      </c>
      <c r="E7" s="5" t="s">
        <v>135</v>
      </c>
    </row>
    <row r="8" spans="2:15" x14ac:dyDescent="0.3">
      <c r="B8" s="4" t="s">
        <v>131</v>
      </c>
      <c r="C8" t="s">
        <v>134</v>
      </c>
      <c r="D8" t="s">
        <v>82</v>
      </c>
      <c r="E8" s="5" t="s">
        <v>134</v>
      </c>
    </row>
    <row r="9" spans="2:15" x14ac:dyDescent="0.3">
      <c r="B9" s="4" t="s">
        <v>126</v>
      </c>
      <c r="C9" t="s">
        <v>133</v>
      </c>
      <c r="D9" t="s">
        <v>83</v>
      </c>
      <c r="E9" s="5" t="s">
        <v>135</v>
      </c>
    </row>
    <row r="10" spans="2:15" x14ac:dyDescent="0.3">
      <c r="B10" s="4" t="s">
        <v>136</v>
      </c>
      <c r="C10" t="s">
        <v>134</v>
      </c>
      <c r="D10" t="s">
        <v>84</v>
      </c>
      <c r="E10" s="5" t="s">
        <v>134</v>
      </c>
    </row>
    <row r="11" spans="2:15" x14ac:dyDescent="0.3">
      <c r="B11" s="4" t="s">
        <v>137</v>
      </c>
      <c r="C11" t="s">
        <v>133</v>
      </c>
      <c r="D11" t="s">
        <v>85</v>
      </c>
      <c r="E11" s="5" t="s">
        <v>135</v>
      </c>
    </row>
    <row r="12" spans="2:15" ht="17.25" thickBot="1" x14ac:dyDescent="0.35">
      <c r="B12" s="6" t="s">
        <v>137</v>
      </c>
      <c r="C12" s="7" t="s">
        <v>134</v>
      </c>
      <c r="D12" s="7" t="s">
        <v>86</v>
      </c>
      <c r="E12" s="8" t="s">
        <v>134</v>
      </c>
    </row>
    <row r="13" spans="2:15" ht="17.25" thickBot="1" x14ac:dyDescent="0.35"/>
    <row r="14" spans="2:15" ht="31.5" x14ac:dyDescent="0.3">
      <c r="B14" s="50" t="s">
        <v>173</v>
      </c>
      <c r="C14" s="51"/>
      <c r="D14" s="51"/>
      <c r="E14" s="52"/>
      <c r="G14" s="50" t="s">
        <v>174</v>
      </c>
      <c r="H14" s="51"/>
      <c r="I14" s="51"/>
      <c r="J14" s="52"/>
      <c r="L14" s="50" t="s">
        <v>175</v>
      </c>
      <c r="M14" s="51"/>
      <c r="N14" s="51"/>
      <c r="O14" s="52"/>
    </row>
    <row r="15" spans="2:15" x14ac:dyDescent="0.3">
      <c r="B15" s="1" t="s">
        <v>122</v>
      </c>
      <c r="C15" s="2" t="s">
        <v>139</v>
      </c>
      <c r="D15" s="2" t="s">
        <v>122</v>
      </c>
      <c r="E15" s="3" t="s">
        <v>140</v>
      </c>
      <c r="G15" s="1" t="s">
        <v>122</v>
      </c>
      <c r="H15" s="2" t="s">
        <v>139</v>
      </c>
      <c r="I15" s="2" t="s">
        <v>122</v>
      </c>
      <c r="J15" s="3" t="s">
        <v>140</v>
      </c>
      <c r="L15" s="1" t="s">
        <v>122</v>
      </c>
      <c r="M15" s="2" t="s">
        <v>139</v>
      </c>
      <c r="N15" s="2" t="s">
        <v>122</v>
      </c>
      <c r="O15" s="3" t="s">
        <v>140</v>
      </c>
    </row>
    <row r="16" spans="2:15" x14ac:dyDescent="0.3">
      <c r="B16" s="4" t="s">
        <v>132</v>
      </c>
      <c r="C16" t="s">
        <v>143</v>
      </c>
      <c r="D16" t="s">
        <v>141</v>
      </c>
      <c r="E16" s="5" t="s">
        <v>145</v>
      </c>
      <c r="G16" s="4" t="s">
        <v>83</v>
      </c>
      <c r="H16" t="s">
        <v>143</v>
      </c>
      <c r="I16" t="s">
        <v>161</v>
      </c>
      <c r="J16" s="5" t="s">
        <v>145</v>
      </c>
      <c r="L16" s="4" t="s">
        <v>85</v>
      </c>
      <c r="M16" t="s">
        <v>143</v>
      </c>
      <c r="N16" t="s">
        <v>167</v>
      </c>
      <c r="O16" s="5" t="s">
        <v>145</v>
      </c>
    </row>
    <row r="17" spans="2:15" x14ac:dyDescent="0.3">
      <c r="B17" s="4" t="s">
        <v>132</v>
      </c>
      <c r="C17" t="s">
        <v>144</v>
      </c>
      <c r="D17" t="s">
        <v>142</v>
      </c>
      <c r="E17" s="5" t="s">
        <v>145</v>
      </c>
      <c r="G17" s="4" t="s">
        <v>83</v>
      </c>
      <c r="H17" t="s">
        <v>144</v>
      </c>
      <c r="I17" t="s">
        <v>162</v>
      </c>
      <c r="J17" s="5" t="s">
        <v>145</v>
      </c>
      <c r="L17" s="4" t="s">
        <v>85</v>
      </c>
      <c r="M17" t="s">
        <v>144</v>
      </c>
      <c r="N17" t="s">
        <v>168</v>
      </c>
      <c r="O17" s="5" t="s">
        <v>145</v>
      </c>
    </row>
    <row r="18" spans="2:15" x14ac:dyDescent="0.3">
      <c r="B18" s="4" t="s">
        <v>147</v>
      </c>
      <c r="C18" t="s">
        <v>143</v>
      </c>
      <c r="D18" t="s">
        <v>141</v>
      </c>
      <c r="E18" s="5" t="s">
        <v>148</v>
      </c>
      <c r="G18" s="4" t="s">
        <v>84</v>
      </c>
      <c r="H18" t="s">
        <v>143</v>
      </c>
      <c r="I18" t="s">
        <v>161</v>
      </c>
      <c r="J18" s="5" t="s">
        <v>148</v>
      </c>
      <c r="L18" s="4" t="s">
        <v>86</v>
      </c>
      <c r="M18" t="s">
        <v>143</v>
      </c>
      <c r="N18" t="s">
        <v>167</v>
      </c>
      <c r="O18" s="5" t="s">
        <v>148</v>
      </c>
    </row>
    <row r="19" spans="2:15" x14ac:dyDescent="0.3">
      <c r="B19" s="4" t="s">
        <v>82</v>
      </c>
      <c r="C19" t="s">
        <v>144</v>
      </c>
      <c r="D19" t="s">
        <v>142</v>
      </c>
      <c r="E19" s="5" t="s">
        <v>146</v>
      </c>
      <c r="G19" s="4" t="s">
        <v>84</v>
      </c>
      <c r="H19" t="s">
        <v>144</v>
      </c>
      <c r="I19" t="s">
        <v>162</v>
      </c>
      <c r="J19" s="5" t="s">
        <v>146</v>
      </c>
      <c r="L19" s="4" t="s">
        <v>86</v>
      </c>
      <c r="M19" t="s">
        <v>144</v>
      </c>
      <c r="N19" t="s">
        <v>168</v>
      </c>
      <c r="O19" s="5" t="s">
        <v>146</v>
      </c>
    </row>
    <row r="20" spans="2:15" x14ac:dyDescent="0.3">
      <c r="B20" s="4" t="s">
        <v>141</v>
      </c>
      <c r="C20" t="s">
        <v>157</v>
      </c>
      <c r="D20" t="s">
        <v>142</v>
      </c>
      <c r="E20" s="5" t="s">
        <v>157</v>
      </c>
      <c r="G20" s="4" t="s">
        <v>161</v>
      </c>
      <c r="H20" t="s">
        <v>157</v>
      </c>
      <c r="I20" t="s">
        <v>162</v>
      </c>
      <c r="J20" s="5" t="s">
        <v>157</v>
      </c>
      <c r="L20" s="4" t="s">
        <v>167</v>
      </c>
      <c r="M20" t="s">
        <v>157</v>
      </c>
      <c r="N20" t="s">
        <v>168</v>
      </c>
      <c r="O20" s="5" t="s">
        <v>157</v>
      </c>
    </row>
    <row r="21" spans="2:15" x14ac:dyDescent="0.3">
      <c r="B21" s="4" t="s">
        <v>141</v>
      </c>
      <c r="C21" t="s">
        <v>158</v>
      </c>
      <c r="D21" t="s">
        <v>142</v>
      </c>
      <c r="E21" s="5" t="s">
        <v>158</v>
      </c>
      <c r="G21" s="4" t="s">
        <v>161</v>
      </c>
      <c r="H21" t="s">
        <v>158</v>
      </c>
      <c r="I21" t="s">
        <v>162</v>
      </c>
      <c r="J21" s="5" t="s">
        <v>158</v>
      </c>
      <c r="L21" s="4" t="s">
        <v>167</v>
      </c>
      <c r="M21" t="s">
        <v>158</v>
      </c>
      <c r="N21" t="s">
        <v>168</v>
      </c>
      <c r="O21" s="5" t="s">
        <v>158</v>
      </c>
    </row>
    <row r="22" spans="2:15" x14ac:dyDescent="0.3">
      <c r="B22" s="4" t="s">
        <v>141</v>
      </c>
      <c r="C22" t="s">
        <v>159</v>
      </c>
      <c r="D22" t="s">
        <v>142</v>
      </c>
      <c r="E22" s="5" t="s">
        <v>159</v>
      </c>
      <c r="G22" s="4" t="s">
        <v>161</v>
      </c>
      <c r="H22" t="s">
        <v>159</v>
      </c>
      <c r="I22" t="s">
        <v>162</v>
      </c>
      <c r="J22" s="5" t="s">
        <v>159</v>
      </c>
      <c r="L22" s="4" t="s">
        <v>167</v>
      </c>
      <c r="M22" t="s">
        <v>159</v>
      </c>
      <c r="N22" t="s">
        <v>168</v>
      </c>
      <c r="O22" s="5" t="s">
        <v>159</v>
      </c>
    </row>
    <row r="23" spans="2:15" x14ac:dyDescent="0.3">
      <c r="B23" s="4" t="s">
        <v>141</v>
      </c>
      <c r="C23" t="s">
        <v>160</v>
      </c>
      <c r="D23" t="s">
        <v>142</v>
      </c>
      <c r="E23" s="5" t="s">
        <v>160</v>
      </c>
      <c r="G23" s="4" t="s">
        <v>161</v>
      </c>
      <c r="H23" t="s">
        <v>160</v>
      </c>
      <c r="I23" t="s">
        <v>162</v>
      </c>
      <c r="J23" s="5" t="s">
        <v>160</v>
      </c>
      <c r="L23" s="4" t="s">
        <v>167</v>
      </c>
      <c r="M23" t="s">
        <v>160</v>
      </c>
      <c r="N23" t="s">
        <v>168</v>
      </c>
      <c r="O23" s="5" t="s">
        <v>160</v>
      </c>
    </row>
    <row r="24" spans="2:15" x14ac:dyDescent="0.3">
      <c r="B24" s="4" t="s">
        <v>141</v>
      </c>
      <c r="C24" t="s">
        <v>149</v>
      </c>
      <c r="D24" t="s">
        <v>153</v>
      </c>
      <c r="E24" s="5" t="s">
        <v>145</v>
      </c>
      <c r="G24" s="4" t="s">
        <v>161</v>
      </c>
      <c r="H24" t="s">
        <v>149</v>
      </c>
      <c r="I24" t="s">
        <v>163</v>
      </c>
      <c r="J24" s="5" t="s">
        <v>145</v>
      </c>
      <c r="L24" s="4" t="s">
        <v>167</v>
      </c>
      <c r="M24" t="s">
        <v>149</v>
      </c>
      <c r="N24" t="s">
        <v>169</v>
      </c>
      <c r="O24" s="5" t="s">
        <v>145</v>
      </c>
    </row>
    <row r="25" spans="2:15" x14ac:dyDescent="0.3">
      <c r="B25" s="4" t="s">
        <v>141</v>
      </c>
      <c r="C25" t="s">
        <v>150</v>
      </c>
      <c r="D25" t="s">
        <v>154</v>
      </c>
      <c r="E25" s="5" t="s">
        <v>145</v>
      </c>
      <c r="G25" s="4" t="s">
        <v>161</v>
      </c>
      <c r="H25" t="s">
        <v>150</v>
      </c>
      <c r="I25" t="s">
        <v>164</v>
      </c>
      <c r="J25" s="5" t="s">
        <v>145</v>
      </c>
      <c r="L25" s="4" t="s">
        <v>167</v>
      </c>
      <c r="M25" t="s">
        <v>150</v>
      </c>
      <c r="N25" t="s">
        <v>170</v>
      </c>
      <c r="O25" s="5" t="s">
        <v>145</v>
      </c>
    </row>
    <row r="26" spans="2:15" x14ac:dyDescent="0.3">
      <c r="B26" s="4" t="s">
        <v>141</v>
      </c>
      <c r="C26" t="s">
        <v>151</v>
      </c>
      <c r="D26" t="s">
        <v>155</v>
      </c>
      <c r="E26" s="5" t="s">
        <v>145</v>
      </c>
      <c r="G26" s="4" t="s">
        <v>161</v>
      </c>
      <c r="H26" t="s">
        <v>151</v>
      </c>
      <c r="I26" t="s">
        <v>165</v>
      </c>
      <c r="J26" s="5" t="s">
        <v>145</v>
      </c>
      <c r="L26" s="4" t="s">
        <v>167</v>
      </c>
      <c r="M26" t="s">
        <v>151</v>
      </c>
      <c r="N26" t="s">
        <v>171</v>
      </c>
      <c r="O26" s="5" t="s">
        <v>145</v>
      </c>
    </row>
    <row r="27" spans="2:15" x14ac:dyDescent="0.3">
      <c r="B27" s="4" t="s">
        <v>141</v>
      </c>
      <c r="C27" t="s">
        <v>152</v>
      </c>
      <c r="D27" t="s">
        <v>156</v>
      </c>
      <c r="E27" s="5" t="s">
        <v>145</v>
      </c>
      <c r="G27" s="4" t="s">
        <v>161</v>
      </c>
      <c r="H27" t="s">
        <v>152</v>
      </c>
      <c r="I27" t="s">
        <v>166</v>
      </c>
      <c r="J27" s="5" t="s">
        <v>145</v>
      </c>
      <c r="L27" s="4" t="s">
        <v>167</v>
      </c>
      <c r="M27" t="s">
        <v>152</v>
      </c>
      <c r="N27" t="s">
        <v>172</v>
      </c>
      <c r="O27" s="5" t="s">
        <v>145</v>
      </c>
    </row>
    <row r="28" spans="2:15" x14ac:dyDescent="0.3">
      <c r="B28" s="4" t="s">
        <v>142</v>
      </c>
      <c r="C28" t="s">
        <v>149</v>
      </c>
      <c r="D28" t="s">
        <v>153</v>
      </c>
      <c r="E28" s="5" t="s">
        <v>146</v>
      </c>
      <c r="G28" s="4" t="s">
        <v>162</v>
      </c>
      <c r="H28" t="s">
        <v>149</v>
      </c>
      <c r="I28" t="s">
        <v>163</v>
      </c>
      <c r="J28" s="5" t="s">
        <v>146</v>
      </c>
      <c r="L28" s="4" t="s">
        <v>168</v>
      </c>
      <c r="M28" t="s">
        <v>149</v>
      </c>
      <c r="N28" t="s">
        <v>169</v>
      </c>
      <c r="O28" s="5" t="s">
        <v>146</v>
      </c>
    </row>
    <row r="29" spans="2:15" x14ac:dyDescent="0.3">
      <c r="B29" s="4" t="s">
        <v>142</v>
      </c>
      <c r="C29" t="s">
        <v>150</v>
      </c>
      <c r="D29" t="s">
        <v>154</v>
      </c>
      <c r="E29" s="5" t="s">
        <v>146</v>
      </c>
      <c r="G29" s="4" t="s">
        <v>162</v>
      </c>
      <c r="H29" t="s">
        <v>150</v>
      </c>
      <c r="I29" t="s">
        <v>164</v>
      </c>
      <c r="J29" s="5" t="s">
        <v>146</v>
      </c>
      <c r="L29" s="4" t="s">
        <v>168</v>
      </c>
      <c r="M29" t="s">
        <v>150</v>
      </c>
      <c r="N29" t="s">
        <v>170</v>
      </c>
      <c r="O29" s="5" t="s">
        <v>146</v>
      </c>
    </row>
    <row r="30" spans="2:15" x14ac:dyDescent="0.3">
      <c r="B30" s="4" t="s">
        <v>142</v>
      </c>
      <c r="C30" t="s">
        <v>151</v>
      </c>
      <c r="D30" t="s">
        <v>155</v>
      </c>
      <c r="E30" s="5" t="s">
        <v>146</v>
      </c>
      <c r="G30" s="4" t="s">
        <v>162</v>
      </c>
      <c r="H30" t="s">
        <v>151</v>
      </c>
      <c r="I30" t="s">
        <v>165</v>
      </c>
      <c r="J30" s="5" t="s">
        <v>146</v>
      </c>
      <c r="L30" s="4" t="s">
        <v>168</v>
      </c>
      <c r="M30" t="s">
        <v>151</v>
      </c>
      <c r="N30" t="s">
        <v>171</v>
      </c>
      <c r="O30" s="5" t="s">
        <v>146</v>
      </c>
    </row>
    <row r="31" spans="2:15" ht="17.25" thickBot="1" x14ac:dyDescent="0.35">
      <c r="B31" s="6" t="s">
        <v>142</v>
      </c>
      <c r="C31" s="7" t="s">
        <v>152</v>
      </c>
      <c r="D31" s="7" t="s">
        <v>156</v>
      </c>
      <c r="E31" s="8" t="s">
        <v>146</v>
      </c>
      <c r="G31" s="6" t="s">
        <v>162</v>
      </c>
      <c r="H31" s="7" t="s">
        <v>152</v>
      </c>
      <c r="I31" s="7" t="s">
        <v>166</v>
      </c>
      <c r="J31" s="8" t="s">
        <v>146</v>
      </c>
      <c r="L31" s="6" t="s">
        <v>168</v>
      </c>
      <c r="M31" s="7" t="s">
        <v>152</v>
      </c>
      <c r="N31" s="7" t="s">
        <v>172</v>
      </c>
      <c r="O31" s="8" t="s">
        <v>146</v>
      </c>
    </row>
  </sheetData>
  <mergeCells count="4">
    <mergeCell ref="B2:E2"/>
    <mergeCell ref="B14:E14"/>
    <mergeCell ref="G14:J14"/>
    <mergeCell ref="L14:O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장비명</vt:lpstr>
      <vt:lpstr>IP</vt:lpstr>
      <vt:lpstr>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Kay G</cp:lastModifiedBy>
  <dcterms:created xsi:type="dcterms:W3CDTF">2025-11-11T00:57:57Z</dcterms:created>
  <dcterms:modified xsi:type="dcterms:W3CDTF">2025-11-15T12:29:38Z</dcterms:modified>
</cp:coreProperties>
</file>